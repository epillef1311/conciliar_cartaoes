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ção" sheetId="1" state="visible" r:id="rId1"/>
  </sheets>
  <definedNames>
    <definedName name="_xlnm._FilterDatabase" localSheetId="0" hidden="1">'Conciliação'!$A$2:$Q$5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\R\$\ * #,##0.00;[Red]\-\R\$\ * 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FFFFC000"/>
      </patternFill>
    </fill>
    <fill>
      <patternFill patternType="solid">
        <fgColor rgb="FF33CCCC"/>
      </patternFill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top style="medium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165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166" fontId="0" fillId="3" borderId="1" applyAlignment="1" pivotButton="0" quotePrefix="0" xfId="0">
      <alignment vertical="center" wrapText="1"/>
    </xf>
    <xf numFmtId="10" fontId="0" fillId="3" borderId="1" applyAlignment="1" pivotButton="0" quotePrefix="0" xfId="0">
      <alignment vertical="center" wrapText="1"/>
    </xf>
    <xf numFmtId="165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6" fontId="0" fillId="4" borderId="1" applyAlignment="1" pivotButton="0" quotePrefix="0" xfId="0">
      <alignment vertical="center" wrapText="1"/>
    </xf>
    <xf numFmtId="10" fontId="0" fillId="4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166" fontId="1" fillId="0" borderId="2" applyAlignment="1" pivotButton="0" quotePrefix="0" xfId="0">
      <alignment vertical="center" wrapText="1"/>
    </xf>
    <xf numFmtId="1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6" customWidth="1" min="4" max="4"/>
    <col width="18" customWidth="1" min="5" max="5"/>
    <col width="15" customWidth="1" min="6" max="6"/>
    <col width="13" customWidth="1" min="7" max="7"/>
    <col width="15" customWidth="1" min="8" max="8"/>
    <col width="15" customWidth="1" min="9" max="9"/>
    <col width="14" customWidth="1" min="10" max="10"/>
    <col width="13" customWidth="1" min="11" max="11"/>
    <col width="27" customWidth="1" min="12" max="12"/>
    <col width="15" customWidth="1" min="13" max="13"/>
    <col width="18" customWidth="1" min="14" max="14"/>
    <col width="34" customWidth="1" min="15" max="15"/>
    <col width="20" customWidth="1" min="16" max="16"/>
    <col width="20" customWidth="1" min="17" max="17"/>
  </cols>
  <sheetData>
    <row r="1" ht="24" customHeight="1">
      <c r="A1" s="1" t="inlineStr">
        <is>
          <t>VENDAS QUICKPAY FRIGORIFICO CANDEIAS DIA 13/07/2026 RECEBIMENTO 14/07/2026</t>
        </is>
      </c>
    </row>
    <row r="2" ht="34" customHeight="1">
      <c r="A2" s="2" t="inlineStr">
        <is>
          <t>Data da venda</t>
        </is>
      </c>
      <c r="B2" s="2" t="inlineStr">
        <is>
          <t>Data de recebimento</t>
        </is>
      </c>
      <c r="C2" s="2" t="inlineStr">
        <is>
          <t>Número de Parcelas</t>
        </is>
      </c>
      <c r="D2" s="2" t="inlineStr">
        <is>
          <t>Bandeira</t>
        </is>
      </c>
      <c r="E2" s="2" t="inlineStr">
        <is>
          <t>Tipo de pagamento</t>
        </is>
      </c>
      <c r="F2" s="2" t="inlineStr">
        <is>
          <t>Valor da Venda</t>
        </is>
      </c>
      <c r="G2" s="2" t="inlineStr">
        <is>
          <t>Taxa</t>
        </is>
      </c>
      <c r="H2" s="2" t="inlineStr">
        <is>
          <t>Valor líquido</t>
        </is>
      </c>
      <c r="I2" s="2" t="inlineStr">
        <is>
          <t>Bruto-Líquido</t>
        </is>
      </c>
      <c r="J2" s="2" t="inlineStr">
        <is>
          <t>Diferença</t>
        </is>
      </c>
      <c r="K2" s="2" t="inlineStr">
        <is>
          <t>Porcentagem</t>
        </is>
      </c>
      <c r="L2" s="2" t="inlineStr">
        <is>
          <t>RECEBIDO NO BANCO QUICKPAY</t>
        </is>
      </c>
      <c r="M2" s="2" t="inlineStr">
        <is>
          <t>Sistema</t>
        </is>
      </c>
      <c r="N2" s="2" t="inlineStr">
        <is>
          <t>Diferença Sistema</t>
        </is>
      </c>
      <c r="O2" s="2" t="inlineStr">
        <is>
          <t>Status</t>
        </is>
      </c>
      <c r="P2" s="2" t="inlineStr">
        <is>
          <t>Soma Valor da Venda</t>
        </is>
      </c>
      <c r="Q2" s="2" t="inlineStr">
        <is>
          <t>Soma Valor Líquido</t>
        </is>
      </c>
    </row>
    <row r="3">
      <c r="A3" s="3" t="n">
        <v>46216</v>
      </c>
      <c r="B3" s="3" t="n">
        <v>46217</v>
      </c>
      <c r="C3" s="4" t="n">
        <v>1</v>
      </c>
      <c r="D3" s="4" t="inlineStr">
        <is>
          <t>MasterCard</t>
        </is>
      </c>
      <c r="E3" s="4" t="inlineStr">
        <is>
          <t>Credito</t>
        </is>
      </c>
      <c r="F3" s="5" t="n">
        <v>194</v>
      </c>
      <c r="G3" s="5" t="n">
        <v>7.69</v>
      </c>
      <c r="H3" s="5" t="n">
        <v>186.26</v>
      </c>
      <c r="I3" s="5">
        <f>F3-H3</f>
        <v/>
      </c>
      <c r="J3" s="5">
        <f>G3-I3</f>
        <v/>
      </c>
      <c r="K3" s="6">
        <f>IF(F3=0,"",1-(H3/F3))</f>
        <v/>
      </c>
      <c r="L3" s="5" t="n">
        <v>186.3</v>
      </c>
      <c r="M3" s="5" t="n"/>
      <c r="N3" s="5" t="n"/>
      <c r="O3" s="4" t="inlineStr">
        <is>
          <t>PENDENTE DE CONCILIAÇÃO COM SISTEMA</t>
        </is>
      </c>
      <c r="P3" s="5">
        <f>SUM(F3:F3)</f>
        <v/>
      </c>
      <c r="Q3" s="5">
        <f>SUM(H3:H3)</f>
        <v/>
      </c>
    </row>
    <row r="4">
      <c r="A4" s="7" t="n">
        <v>46216</v>
      </c>
      <c r="B4" s="7" t="n">
        <v>46217</v>
      </c>
      <c r="C4" s="8" t="n">
        <v>1</v>
      </c>
      <c r="D4" s="8" t="inlineStr">
        <is>
          <t>Visa</t>
        </is>
      </c>
      <c r="E4" s="8" t="inlineStr">
        <is>
          <t>Credito</t>
        </is>
      </c>
      <c r="F4" s="9" t="n">
        <v>126.83</v>
      </c>
      <c r="G4" s="9" t="n">
        <v>5.03</v>
      </c>
      <c r="H4" s="9" t="n">
        <v>121.77</v>
      </c>
      <c r="I4" s="9">
        <f>F4-H4</f>
        <v/>
      </c>
      <c r="J4" s="9">
        <f>G4-I4</f>
        <v/>
      </c>
      <c r="K4" s="10">
        <f>IF(F4=0,"",1-(H4/F4))</f>
        <v/>
      </c>
      <c r="L4" s="9" t="n">
        <v>121.8</v>
      </c>
      <c r="M4" s="9" t="n"/>
      <c r="N4" s="9" t="n"/>
      <c r="O4" s="8" t="inlineStr">
        <is>
          <t>PENDENTE DE CONCILIAÇÃO COM SISTEMA</t>
        </is>
      </c>
      <c r="P4" s="9">
        <f>SUM(F4:F4)</f>
        <v/>
      </c>
      <c r="Q4" s="9">
        <f>SUM(H4:H4)</f>
        <v/>
      </c>
    </row>
    <row r="5">
      <c r="A5" s="11" t="n"/>
      <c r="B5" s="11" t="n"/>
      <c r="C5" s="12" t="n"/>
      <c r="D5" s="12" t="n"/>
      <c r="E5" s="13" t="inlineStr">
        <is>
          <t>TOTAL</t>
        </is>
      </c>
      <c r="F5" s="14">
        <f>SUM(F3:F4)</f>
        <v/>
      </c>
      <c r="G5" s="14">
        <f>SUM(G3:G4)</f>
        <v/>
      </c>
      <c r="H5" s="14">
        <f>SUM(H3:H4)</f>
        <v/>
      </c>
      <c r="I5" s="14">
        <f>SUM(I3:I4)</f>
        <v/>
      </c>
      <c r="J5" s="14">
        <f>SUM(J3:J4)</f>
        <v/>
      </c>
      <c r="K5" s="15" t="n"/>
      <c r="L5" s="14">
        <f>SUM(L3:L4)</f>
        <v/>
      </c>
      <c r="M5" s="14">
        <f>SUM(M3:M4)</f>
        <v/>
      </c>
      <c r="N5" s="14">
        <f>SUM(N3:N4)</f>
        <v/>
      </c>
      <c r="O5" s="12" t="n"/>
      <c r="P5" s="16" t="n"/>
      <c r="Q5" s="16" t="n"/>
    </row>
  </sheetData>
  <autoFilter ref="A2:Q5"/>
  <mergeCells count="1"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2026-10-05T23:20:40Z</dcterms:created>
  <dcterms:modified xsi:type="dcterms:W3CDTF">2026-10-05T23:20:40Z</dcterms:modified>
</cp:coreProperties>
</file>